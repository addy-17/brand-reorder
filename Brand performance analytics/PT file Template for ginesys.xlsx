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13_ncr:1_{C69B94BE-F69A-4858-B242-0BC9B9856F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" i="1"/>
</calcChain>
</file>

<file path=xl/sharedStrings.xml><?xml version="1.0" encoding="utf-8"?>
<sst xmlns="http://schemas.openxmlformats.org/spreadsheetml/2006/main" count="208" uniqueCount="59">
  <si>
    <t>Brand Name</t>
  </si>
  <si>
    <t>Category</t>
  </si>
  <si>
    <t>Sub Category</t>
  </si>
  <si>
    <t>Product</t>
  </si>
  <si>
    <t>Style Code /Sku</t>
  </si>
  <si>
    <t>Color</t>
  </si>
  <si>
    <t>Size</t>
  </si>
  <si>
    <t>Barcode No</t>
  </si>
  <si>
    <t>MRP</t>
  </si>
  <si>
    <t>HSN Code</t>
  </si>
  <si>
    <t>GST%</t>
  </si>
  <si>
    <t>MATERIAL</t>
  </si>
  <si>
    <t>Gender</t>
  </si>
  <si>
    <t>Season</t>
  </si>
  <si>
    <t>Quantity</t>
  </si>
  <si>
    <t>UOM</t>
  </si>
  <si>
    <t>MARGIN %</t>
  </si>
  <si>
    <t>Net Price</t>
  </si>
  <si>
    <t>pcs</t>
  </si>
  <si>
    <t>PO RATE</t>
  </si>
  <si>
    <t>Article</t>
  </si>
  <si>
    <t xml:space="preserve">Bili Hu </t>
  </si>
  <si>
    <t xml:space="preserve">Food &amp; Beverage </t>
  </si>
  <si>
    <t xml:space="preserve">Coffee </t>
  </si>
  <si>
    <t>Candles</t>
  </si>
  <si>
    <t>Gift Set</t>
  </si>
  <si>
    <t xml:space="preserve">Gift Box </t>
  </si>
  <si>
    <t>Food &amp; Beverage-Coffee-Candles</t>
  </si>
  <si>
    <t>Midnight Aura</t>
  </si>
  <si>
    <t>Noctis Light</t>
  </si>
  <si>
    <t>Hot Coffee Drip Bags [Medium Roast]</t>
  </si>
  <si>
    <t>Assorted Drip Bags (Set of 5)</t>
  </si>
  <si>
    <t>Hot Coffee Dip Bag (Set of 5)</t>
  </si>
  <si>
    <t>Whiskey Barrel Aged Drip Bag (Set of 5)</t>
  </si>
  <si>
    <t>Monsooned Malabar Drip Bags (Set of 5)</t>
  </si>
  <si>
    <t>Decafinated Brew Bag [pack of 5]</t>
  </si>
  <si>
    <t>100% Arabica - Beans</t>
  </si>
  <si>
    <t>100% Arabica - Pourover</t>
  </si>
  <si>
    <t>Gift Box - 1 - Bean &amp; Tusk</t>
  </si>
  <si>
    <t xml:space="preserve">Gift Box 4-Verdant Roast </t>
  </si>
  <si>
    <t xml:space="preserve">Gift Box 5- The Daily Drip </t>
  </si>
  <si>
    <t>Gift Box - 6 - The Brewtini Box</t>
  </si>
  <si>
    <t>Gift Box - 7 - Moka Magic Box</t>
  </si>
  <si>
    <t>Gift Box - 8 - Handcrafted Brews</t>
  </si>
  <si>
    <t xml:space="preserve">Nicobar French Press </t>
  </si>
  <si>
    <t>Nicobar Drip Bags</t>
  </si>
  <si>
    <t>OS</t>
  </si>
  <si>
    <t>Assorted Drip Bags (S 5)</t>
  </si>
  <si>
    <t>Hot Coffee Dip Bag (S 5)</t>
  </si>
  <si>
    <t>Whsk Bar Agd Dr Bg (S 5)</t>
  </si>
  <si>
    <t>Monsn Malb Dr Bg (S 5)</t>
  </si>
  <si>
    <t>G B - 1 - Bean &amp; Tusk</t>
  </si>
  <si>
    <t xml:space="preserve">G B - 4-Verdant Roast </t>
  </si>
  <si>
    <t xml:space="preserve">G B- 5- The Daily Drip </t>
  </si>
  <si>
    <t>G B-6 - The Brewtini Box</t>
  </si>
  <si>
    <t>G B-7 - Moka Magic Box</t>
  </si>
  <si>
    <t>SS26</t>
  </si>
  <si>
    <t>Food &amp; Beverage-Coffee-Gift Set</t>
  </si>
  <si>
    <t>Food &amp; Beverage-Gift Box-Gift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</si>
</sst>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##0"/>
  </numFmts>
  <fonts count="10" x14ac:knownFonts="1">
    <font>
      <sz val="11"/>
      <color rgb="FF000000"/>
      <name val="Calibri"/>
    </font>
    <font>
      <b/>
      <sz val="10"/>
      <name val="Calibri"/>
    </font>
    <font>
      <sz val="10"/>
      <name val="Calibri"/>
    </font>
    <font>
      <sz val="10"/>
      <name val="Calibri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rgb="FF434343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EFE00"/>
        <bgColor rgb="FF000000"/>
      </patternFill>
    </fill>
    <fill>
      <patternFill patternType="solid">
        <fgColor rgb="FFE2F0D9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164" fontId="3" fillId="0" borderId="2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/>
    <xf numFmtId="0" fontId="6" fillId="0" borderId="3" xfId="0" applyFont="1" applyBorder="1"/>
    <xf numFmtId="0" fontId="7" fillId="0" borderId="3" xfId="0" applyFont="1" applyBorder="1"/>
    <xf numFmtId="0" fontId="8" fillId="0" borderId="3" xfId="0" applyFont="1" applyBorder="1"/>
    <xf numFmtId="0" fontId="5" fillId="6" borderId="3" xfId="0" applyFont="1" applyFill="1" applyBorder="1"/>
    <xf numFmtId="0" fontId="4" fillId="2" borderId="3" xfId="0" applyFont="1" applyFill="1" applyBorder="1"/>
    <xf numFmtId="9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E18" sqref="E18:E21"/>
    </sheetView>
  </sheetViews>
  <sheetFormatPr defaultRowHeight="16.95" customHeight="1" x14ac:dyDescent="0.3"/>
  <cols>
    <col min="1" max="1" width="12.109375" style="9"/>
    <col min="2" max="2" width="14.6640625" style="9"/>
    <col min="3" max="3" width="14.6640625" style="8" customWidth="1"/>
    <col min="4" max="4" width="16.44140625" style="8"/>
    <col min="6" max="6" width="27.88671875" style="9" customWidth="1"/>
    <col min="7" max="7" width="10.5546875"/>
    <col min="8" max="8" width="4.44140625" style="8"/>
    <col min="9" max="9" width="10.5546875"/>
    <col min="10" max="10" width="11.44140625" style="9"/>
    <col min="11" max="11" width="10.109375" style="9"/>
    <col min="12" max="12" width="6" style="15"/>
    <col min="13" max="14" width="10.5546875"/>
    <col min="15" max="15" width="7.44140625" style="7"/>
    <col min="16" max="16" width="9.44140625" style="9"/>
    <col min="18" max="18" width="5.88671875" style="8"/>
    <col min="19" max="19" width="10.33203125" style="9"/>
    <col min="20" max="23" width="10.5546875"/>
  </cols>
  <sheetData>
    <row r="1" spans="1:20" ht="14.4" x14ac:dyDescent="0.3">
      <c r="A1" s="6" t="s">
        <v>0</v>
      </c>
      <c r="B1" s="6" t="s">
        <v>1</v>
      </c>
      <c r="C1" s="6" t="s">
        <v>2</v>
      </c>
      <c r="D1" s="6" t="s">
        <v>3</v>
      </c>
      <c r="E1" s="1" t="s">
        <v>20</v>
      </c>
      <c r="F1" s="6" t="s">
        <v>4</v>
      </c>
      <c r="G1" s="1" t="s">
        <v>5</v>
      </c>
      <c r="H1" s="6" t="s">
        <v>6</v>
      </c>
      <c r="I1" s="1" t="s">
        <v>7</v>
      </c>
      <c r="J1" s="6" t="s">
        <v>8</v>
      </c>
      <c r="K1" s="6" t="s">
        <v>9</v>
      </c>
      <c r="L1" s="14" t="s">
        <v>10</v>
      </c>
      <c r="M1" s="1" t="s">
        <v>11</v>
      </c>
      <c r="N1" s="1" t="s">
        <v>12</v>
      </c>
      <c r="O1" s="6" t="s">
        <v>13</v>
      </c>
      <c r="P1" s="6" t="s">
        <v>14</v>
      </c>
      <c r="Q1" s="1" t="s">
        <v>19</v>
      </c>
      <c r="R1" s="6" t="s">
        <v>15</v>
      </c>
      <c r="S1" s="17" t="s">
        <v>16</v>
      </c>
      <c r="T1" s="2" t="s">
        <v>17</v>
      </c>
    </row>
    <row r="2" spans="1:20" ht="14.4" x14ac:dyDescent="0.3">
      <c r="A2" s="7" t="s">
        <v>21</v>
      </c>
      <c r="B2" s="8" t="s">
        <v>22</v>
      </c>
      <c r="C2" s="8" t="s">
        <v>23</v>
      </c>
      <c r="D2" s="8" t="s">
        <v>24</v>
      </c>
      <c r="E2" s="4" t="s">
        <v>27</v>
      </c>
      <c r="F2" s="10" t="s">
        <v>28</v>
      </c>
      <c r="G2" s="3"/>
      <c r="H2" s="8" t="s">
        <v>46</v>
      </c>
      <c r="I2" s="10" t="s">
        <v>28</v>
      </c>
      <c r="J2" s="9">
        <v>399</v>
      </c>
      <c r="K2" s="8">
        <v>340600</v>
      </c>
      <c r="L2" s="15">
        <v>0.05</v>
      </c>
      <c r="M2" s="3"/>
      <c r="N2" s="4"/>
      <c r="O2" s="7" t="s">
        <v>56</v>
      </c>
      <c r="P2" s="8">
        <v>5</v>
      </c>
      <c r="Q2" s="3">
        <f>ROUND((J2/(1+L2/100))*(1-S2/100),2)</f>
        <v>299.10000000000002</v>
      </c>
      <c r="R2" s="8" t="s">
        <v>18</v>
      </c>
      <c r="S2" s="18">
        <v>25</v>
      </c>
      <c r="T2" s="5">
        <f>J2/(1+L2)</f>
        <v>380</v>
      </c>
    </row>
    <row r="3" spans="1:20" ht="14.4" x14ac:dyDescent="0.3">
      <c r="A3" s="7" t="s">
        <v>21</v>
      </c>
      <c r="B3" s="8" t="s">
        <v>22</v>
      </c>
      <c r="C3" s="8" t="s">
        <v>23</v>
      </c>
      <c r="D3" s="8" t="s">
        <v>24</v>
      </c>
      <c r="E3" s="4" t="s">
        <v>27</v>
      </c>
      <c r="F3" s="9" t="s">
        <v>29</v>
      </c>
      <c r="G3" s="3"/>
      <c r="H3" s="8" t="s">
        <v>46</v>
      </c>
      <c r="I3" s="9" t="s">
        <v>29</v>
      </c>
      <c r="J3" s="9">
        <v>399</v>
      </c>
      <c r="K3" s="8">
        <v>340600</v>
      </c>
      <c r="L3" s="15">
        <v>0.05</v>
      </c>
      <c r="M3" s="3"/>
      <c r="N3" s="4"/>
      <c r="O3" s="7" t="s">
        <v>56</v>
      </c>
      <c r="P3" s="16">
        <v>5</v>
      </c>
      <c r="Q3" s="3">
        <f t="shared" ref="Q3:Q21" si="0">ROUND((J3/(1+L3/100))*(1-S3/100),2)</f>
        <v>299.10000000000002</v>
      </c>
      <c r="R3" s="8" t="s">
        <v>18</v>
      </c>
      <c r="S3" s="8">
        <v>25</v>
      </c>
      <c r="T3" s="5">
        <f t="shared" ref="T3:T21" si="1">J3/(1+L3)</f>
        <v>380</v>
      </c>
    </row>
    <row r="4" spans="1:20" ht="16.95" customHeight="1" x14ac:dyDescent="0.3">
      <c r="A4" s="7" t="s">
        <v>21</v>
      </c>
      <c r="B4" s="8" t="s">
        <v>22</v>
      </c>
      <c r="C4" s="8" t="s">
        <v>23</v>
      </c>
      <c r="D4" s="8" t="s">
        <v>25</v>
      </c>
      <c r="E4" s="4" t="s">
        <v>57</v>
      </c>
      <c r="F4" s="9" t="s">
        <v>30</v>
      </c>
      <c r="H4" s="8" t="s">
        <v>46</v>
      </c>
      <c r="I4" s="9"/>
      <c r="J4" s="9">
        <v>395</v>
      </c>
      <c r="K4" s="8">
        <v>90122</v>
      </c>
      <c r="L4" s="15">
        <v>0.05</v>
      </c>
      <c r="O4" s="7" t="s">
        <v>56</v>
      </c>
      <c r="P4" s="16">
        <v>5</v>
      </c>
      <c r="Q4" s="3">
        <f t="shared" si="0"/>
        <v>296.10000000000002</v>
      </c>
      <c r="R4" s="8" t="s">
        <v>18</v>
      </c>
      <c r="S4" s="8">
        <v>25</v>
      </c>
      <c r="T4" s="5">
        <f t="shared" si="1"/>
        <v>376.19047619047615</v>
      </c>
    </row>
    <row r="5" spans="1:20" ht="16.95" customHeight="1" x14ac:dyDescent="0.3">
      <c r="A5" s="7" t="s">
        <v>21</v>
      </c>
      <c r="B5" s="8" t="s">
        <v>22</v>
      </c>
      <c r="C5" s="8" t="s">
        <v>23</v>
      </c>
      <c r="D5" s="8" t="s">
        <v>25</v>
      </c>
      <c r="E5" s="4" t="s">
        <v>57</v>
      </c>
      <c r="F5" s="9" t="s">
        <v>31</v>
      </c>
      <c r="I5" s="9" t="s">
        <v>47</v>
      </c>
      <c r="J5" s="9">
        <v>515</v>
      </c>
      <c r="K5" s="8">
        <v>90122</v>
      </c>
      <c r="L5" s="15">
        <v>0.05</v>
      </c>
      <c r="O5" s="7" t="s">
        <v>56</v>
      </c>
      <c r="P5" s="16">
        <v>2</v>
      </c>
      <c r="Q5" s="3">
        <f t="shared" si="0"/>
        <v>386.06</v>
      </c>
      <c r="R5" s="8" t="s">
        <v>18</v>
      </c>
      <c r="S5" s="8">
        <v>25</v>
      </c>
      <c r="T5" s="5">
        <f t="shared" si="1"/>
        <v>490.47619047619048</v>
      </c>
    </row>
    <row r="6" spans="1:20" ht="16.95" customHeight="1" x14ac:dyDescent="0.3">
      <c r="A6" s="7" t="s">
        <v>21</v>
      </c>
      <c r="B6" s="8" t="s">
        <v>22</v>
      </c>
      <c r="C6" s="8" t="s">
        <v>23</v>
      </c>
      <c r="D6" s="8" t="s">
        <v>25</v>
      </c>
      <c r="E6" s="4" t="s">
        <v>57</v>
      </c>
      <c r="F6" s="9" t="s">
        <v>32</v>
      </c>
      <c r="H6" s="8" t="s">
        <v>46</v>
      </c>
      <c r="I6" s="9" t="s">
        <v>48</v>
      </c>
      <c r="J6" s="9">
        <v>325</v>
      </c>
      <c r="K6" s="8">
        <v>90122</v>
      </c>
      <c r="L6" s="15">
        <v>0.05</v>
      </c>
      <c r="O6" s="7" t="s">
        <v>56</v>
      </c>
      <c r="P6" s="16">
        <v>5</v>
      </c>
      <c r="Q6" s="3">
        <f t="shared" si="0"/>
        <v>243.63</v>
      </c>
      <c r="R6" s="8" t="s">
        <v>18</v>
      </c>
      <c r="S6" s="8">
        <v>25</v>
      </c>
      <c r="T6" s="5">
        <f t="shared" si="1"/>
        <v>309.52380952380952</v>
      </c>
    </row>
    <row r="7" spans="1:20" ht="16.95" customHeight="1" x14ac:dyDescent="0.3">
      <c r="A7" s="7" t="s">
        <v>21</v>
      </c>
      <c r="B7" s="8" t="s">
        <v>22</v>
      </c>
      <c r="C7" s="8" t="s">
        <v>23</v>
      </c>
      <c r="D7" s="8" t="s">
        <v>25</v>
      </c>
      <c r="E7" s="4" t="s">
        <v>57</v>
      </c>
      <c r="F7" s="9" t="s">
        <v>33</v>
      </c>
      <c r="H7" s="8" t="s">
        <v>46</v>
      </c>
      <c r="I7" s="9" t="s">
        <v>49</v>
      </c>
      <c r="J7" s="11">
        <v>595</v>
      </c>
      <c r="K7" s="8">
        <v>90122</v>
      </c>
      <c r="L7" s="15">
        <v>0.05</v>
      </c>
      <c r="O7" s="7" t="s">
        <v>56</v>
      </c>
      <c r="P7" s="16">
        <v>2</v>
      </c>
      <c r="Q7" s="3">
        <f t="shared" si="0"/>
        <v>446.03</v>
      </c>
      <c r="R7" s="8" t="s">
        <v>18</v>
      </c>
      <c r="S7" s="8">
        <v>25</v>
      </c>
      <c r="T7" s="5">
        <f t="shared" si="1"/>
        <v>566.66666666666663</v>
      </c>
    </row>
    <row r="8" spans="1:20" ht="16.95" customHeight="1" x14ac:dyDescent="0.3">
      <c r="A8" s="7" t="s">
        <v>21</v>
      </c>
      <c r="B8" s="8" t="s">
        <v>22</v>
      </c>
      <c r="C8" s="8" t="s">
        <v>23</v>
      </c>
      <c r="D8" s="8" t="s">
        <v>25</v>
      </c>
      <c r="E8" s="4" t="s">
        <v>57</v>
      </c>
      <c r="F8" s="9" t="s">
        <v>34</v>
      </c>
      <c r="H8" s="8" t="s">
        <v>46</v>
      </c>
      <c r="I8" s="9" t="s">
        <v>50</v>
      </c>
      <c r="J8" s="11">
        <v>595</v>
      </c>
      <c r="K8" s="8">
        <v>90122</v>
      </c>
      <c r="L8" s="15">
        <v>0.05</v>
      </c>
      <c r="O8" s="7" t="s">
        <v>56</v>
      </c>
      <c r="P8" s="16">
        <v>2</v>
      </c>
      <c r="Q8" s="3">
        <f t="shared" si="0"/>
        <v>446.03</v>
      </c>
      <c r="R8" s="8" t="s">
        <v>18</v>
      </c>
      <c r="S8" s="8">
        <v>25</v>
      </c>
      <c r="T8" s="5">
        <f t="shared" si="1"/>
        <v>566.66666666666663</v>
      </c>
    </row>
    <row r="9" spans="1:20" ht="16.95" customHeight="1" x14ac:dyDescent="0.3">
      <c r="A9" s="7" t="s">
        <v>21</v>
      </c>
      <c r="B9" s="8" t="s">
        <v>22</v>
      </c>
      <c r="C9" s="8" t="s">
        <v>23</v>
      </c>
      <c r="D9" s="8" t="s">
        <v>25</v>
      </c>
      <c r="E9" s="4" t="s">
        <v>57</v>
      </c>
      <c r="F9" s="9" t="s">
        <v>35</v>
      </c>
      <c r="H9" s="8" t="s">
        <v>46</v>
      </c>
      <c r="I9" s="9"/>
      <c r="J9" s="9">
        <v>595</v>
      </c>
      <c r="K9" s="8">
        <v>90122</v>
      </c>
      <c r="L9" s="15">
        <v>0.05</v>
      </c>
      <c r="O9" s="7" t="s">
        <v>56</v>
      </c>
      <c r="P9" s="16">
        <v>2</v>
      </c>
      <c r="Q9" s="3">
        <f t="shared" si="0"/>
        <v>446.03</v>
      </c>
      <c r="R9" s="8" t="s">
        <v>18</v>
      </c>
      <c r="S9" s="8">
        <v>25</v>
      </c>
      <c r="T9" s="5">
        <f t="shared" si="1"/>
        <v>566.66666666666663</v>
      </c>
    </row>
    <row r="10" spans="1:20" ht="16.95" customHeight="1" x14ac:dyDescent="0.3">
      <c r="A10" s="7" t="s">
        <v>21</v>
      </c>
      <c r="B10" s="8" t="s">
        <v>22</v>
      </c>
      <c r="C10" s="8" t="s">
        <v>23</v>
      </c>
      <c r="D10" s="8" t="s">
        <v>25</v>
      </c>
      <c r="E10" s="4" t="s">
        <v>57</v>
      </c>
      <c r="F10" s="9" t="s">
        <v>36</v>
      </c>
      <c r="H10" s="8" t="s">
        <v>46</v>
      </c>
      <c r="I10" s="9" t="s">
        <v>36</v>
      </c>
      <c r="J10" s="9">
        <v>749</v>
      </c>
      <c r="K10" s="8">
        <v>90122</v>
      </c>
      <c r="L10" s="15">
        <v>0.05</v>
      </c>
      <c r="O10" s="7" t="s">
        <v>56</v>
      </c>
      <c r="P10" s="16">
        <v>2</v>
      </c>
      <c r="Q10" s="3">
        <f t="shared" si="0"/>
        <v>561.47</v>
      </c>
      <c r="R10" s="8" t="s">
        <v>18</v>
      </c>
      <c r="S10" s="8">
        <v>25</v>
      </c>
      <c r="T10" s="5">
        <f t="shared" si="1"/>
        <v>713.33333333333326</v>
      </c>
    </row>
    <row r="11" spans="1:20" ht="16.95" customHeight="1" x14ac:dyDescent="0.3">
      <c r="A11" s="7" t="s">
        <v>21</v>
      </c>
      <c r="B11" s="8" t="s">
        <v>22</v>
      </c>
      <c r="C11" s="8" t="s">
        <v>23</v>
      </c>
      <c r="D11" s="8" t="s">
        <v>25</v>
      </c>
      <c r="E11" s="4" t="s">
        <v>57</v>
      </c>
      <c r="F11" s="9" t="s">
        <v>37</v>
      </c>
      <c r="H11" s="8" t="s">
        <v>46</v>
      </c>
      <c r="I11" s="9" t="s">
        <v>37</v>
      </c>
      <c r="J11" s="9">
        <v>749</v>
      </c>
      <c r="K11" s="8">
        <v>90122</v>
      </c>
      <c r="L11" s="15">
        <v>0.05</v>
      </c>
      <c r="O11" s="7" t="s">
        <v>56</v>
      </c>
      <c r="P11" s="16">
        <v>2</v>
      </c>
      <c r="Q11" s="3">
        <f t="shared" si="0"/>
        <v>561.47</v>
      </c>
      <c r="R11" s="8" t="s">
        <v>18</v>
      </c>
      <c r="S11" s="8">
        <v>25</v>
      </c>
      <c r="T11" s="5">
        <f t="shared" si="1"/>
        <v>713.33333333333326</v>
      </c>
    </row>
    <row r="12" spans="1:20" ht="16.95" customHeight="1" x14ac:dyDescent="0.3">
      <c r="A12" s="7" t="s">
        <v>21</v>
      </c>
      <c r="B12" s="8" t="s">
        <v>22</v>
      </c>
      <c r="C12" s="8" t="s">
        <v>26</v>
      </c>
      <c r="D12" s="8" t="s">
        <v>25</v>
      </c>
      <c r="E12" s="4" t="s">
        <v>58</v>
      </c>
      <c r="F12" s="9" t="s">
        <v>38</v>
      </c>
      <c r="H12" s="8" t="s">
        <v>46</v>
      </c>
      <c r="I12" s="9" t="s">
        <v>51</v>
      </c>
      <c r="J12" s="12">
        <v>650</v>
      </c>
      <c r="K12" s="8">
        <v>90122</v>
      </c>
      <c r="L12" s="15">
        <v>0.05</v>
      </c>
      <c r="O12" s="7" t="s">
        <v>56</v>
      </c>
      <c r="P12" s="16">
        <v>2</v>
      </c>
      <c r="Q12" s="3">
        <f t="shared" si="0"/>
        <v>487.26</v>
      </c>
      <c r="R12" s="8" t="s">
        <v>18</v>
      </c>
      <c r="S12" s="8">
        <v>25</v>
      </c>
      <c r="T12" s="5">
        <f t="shared" si="1"/>
        <v>619.04761904761904</v>
      </c>
    </row>
    <row r="13" spans="1:20" ht="16.95" customHeight="1" x14ac:dyDescent="0.3">
      <c r="A13" s="7" t="s">
        <v>21</v>
      </c>
      <c r="B13" s="8" t="s">
        <v>22</v>
      </c>
      <c r="C13" s="8" t="s">
        <v>26</v>
      </c>
      <c r="D13" s="8" t="s">
        <v>25</v>
      </c>
      <c r="E13" s="4" t="s">
        <v>58</v>
      </c>
      <c r="F13" s="9" t="s">
        <v>39</v>
      </c>
      <c r="H13" s="8" t="s">
        <v>46</v>
      </c>
      <c r="I13" s="9" t="s">
        <v>52</v>
      </c>
      <c r="J13" s="12">
        <v>1225</v>
      </c>
      <c r="K13" s="8">
        <v>90122</v>
      </c>
      <c r="L13" s="15">
        <v>0.05</v>
      </c>
      <c r="O13" s="7" t="s">
        <v>56</v>
      </c>
      <c r="P13" s="16">
        <v>2</v>
      </c>
      <c r="Q13" s="3">
        <f t="shared" si="0"/>
        <v>918.29</v>
      </c>
      <c r="R13" s="8" t="s">
        <v>18</v>
      </c>
      <c r="S13" s="8">
        <v>25</v>
      </c>
      <c r="T13" s="5">
        <f t="shared" si="1"/>
        <v>1166.6666666666665</v>
      </c>
    </row>
    <row r="14" spans="1:20" ht="16.95" customHeight="1" x14ac:dyDescent="0.3">
      <c r="A14" s="7" t="s">
        <v>21</v>
      </c>
      <c r="B14" s="8" t="s">
        <v>22</v>
      </c>
      <c r="C14" s="8" t="s">
        <v>26</v>
      </c>
      <c r="D14" s="8" t="s">
        <v>25</v>
      </c>
      <c r="E14" s="4" t="s">
        <v>58</v>
      </c>
      <c r="F14" s="9" t="s">
        <v>40</v>
      </c>
      <c r="H14" s="8" t="s">
        <v>46</v>
      </c>
      <c r="I14" s="9" t="s">
        <v>53</v>
      </c>
      <c r="J14" s="12">
        <v>3499</v>
      </c>
      <c r="K14" s="8">
        <v>90122</v>
      </c>
      <c r="L14" s="15">
        <v>0.05</v>
      </c>
      <c r="O14" s="7" t="s">
        <v>56</v>
      </c>
      <c r="P14" s="16">
        <v>2</v>
      </c>
      <c r="Q14" s="3">
        <f t="shared" si="0"/>
        <v>2622.94</v>
      </c>
      <c r="R14" s="8" t="s">
        <v>18</v>
      </c>
      <c r="S14" s="8">
        <v>25</v>
      </c>
      <c r="T14" s="5">
        <f t="shared" si="1"/>
        <v>3332.3809523809523</v>
      </c>
    </row>
    <row r="15" spans="1:20" ht="16.95" customHeight="1" x14ac:dyDescent="0.3">
      <c r="A15" s="7" t="s">
        <v>21</v>
      </c>
      <c r="B15" s="8" t="s">
        <v>22</v>
      </c>
      <c r="C15" s="8" t="s">
        <v>26</v>
      </c>
      <c r="D15" s="8" t="s">
        <v>25</v>
      </c>
      <c r="E15" s="4" t="s">
        <v>58</v>
      </c>
      <c r="F15" s="9" t="s">
        <v>41</v>
      </c>
      <c r="H15" s="8" t="s">
        <v>46</v>
      </c>
      <c r="I15" s="9" t="s">
        <v>54</v>
      </c>
      <c r="J15" s="12">
        <v>5299</v>
      </c>
      <c r="K15" s="8">
        <v>90122</v>
      </c>
      <c r="L15" s="15">
        <v>0.05</v>
      </c>
      <c r="O15" s="7" t="s">
        <v>56</v>
      </c>
      <c r="P15" s="16">
        <v>2</v>
      </c>
      <c r="Q15" s="3">
        <f t="shared" si="0"/>
        <v>3972.26</v>
      </c>
      <c r="R15" s="8" t="s">
        <v>18</v>
      </c>
      <c r="S15" s="8">
        <v>25</v>
      </c>
      <c r="T15" s="5">
        <f t="shared" si="1"/>
        <v>5046.6666666666661</v>
      </c>
    </row>
    <row r="16" spans="1:20" ht="16.95" customHeight="1" x14ac:dyDescent="0.3">
      <c r="A16" s="7" t="s">
        <v>21</v>
      </c>
      <c r="B16" s="8" t="s">
        <v>22</v>
      </c>
      <c r="C16" s="8" t="s">
        <v>26</v>
      </c>
      <c r="D16" s="8" t="s">
        <v>25</v>
      </c>
      <c r="E16" s="4" t="s">
        <v>58</v>
      </c>
      <c r="F16" s="9" t="s">
        <v>42</v>
      </c>
      <c r="H16" s="8" t="s">
        <v>46</v>
      </c>
      <c r="I16" s="9" t="s">
        <v>55</v>
      </c>
      <c r="J16" s="12">
        <v>3999</v>
      </c>
      <c r="K16" s="8">
        <v>90122</v>
      </c>
      <c r="L16" s="15">
        <v>0.05</v>
      </c>
      <c r="O16" s="7" t="s">
        <v>56</v>
      </c>
      <c r="P16" s="16">
        <v>2</v>
      </c>
      <c r="Q16" s="3">
        <f t="shared" si="0"/>
        <v>2997.75</v>
      </c>
      <c r="R16" s="8" t="s">
        <v>18</v>
      </c>
      <c r="S16" s="8">
        <v>25</v>
      </c>
      <c r="T16" s="5">
        <f t="shared" si="1"/>
        <v>3808.5714285714284</v>
      </c>
    </row>
    <row r="17" spans="1:20" ht="16.95" customHeight="1" x14ac:dyDescent="0.3">
      <c r="A17" s="7" t="s">
        <v>21</v>
      </c>
      <c r="B17" s="8" t="s">
        <v>22</v>
      </c>
      <c r="C17" s="8" t="s">
        <v>26</v>
      </c>
      <c r="D17" s="8" t="s">
        <v>25</v>
      </c>
      <c r="E17" s="4" t="s">
        <v>58</v>
      </c>
      <c r="F17" s="9" t="s">
        <v>43</v>
      </c>
      <c r="H17" s="8" t="s">
        <v>46</v>
      </c>
      <c r="I17" s="9"/>
      <c r="J17" s="12">
        <v>3999</v>
      </c>
      <c r="K17" s="8">
        <v>90122</v>
      </c>
      <c r="L17" s="15">
        <v>0.05</v>
      </c>
      <c r="O17" s="7" t="s">
        <v>56</v>
      </c>
      <c r="P17" s="16">
        <v>2</v>
      </c>
      <c r="Q17" s="3">
        <f t="shared" si="0"/>
        <v>2997.75</v>
      </c>
      <c r="R17" s="8" t="s">
        <v>18</v>
      </c>
      <c r="S17" s="8">
        <v>25</v>
      </c>
      <c r="T17" s="5">
        <f t="shared" si="1"/>
        <v>3808.5714285714284</v>
      </c>
    </row>
    <row r="18" spans="1:20" ht="16.95" customHeight="1" x14ac:dyDescent="0.3">
      <c r="A18" s="7" t="s">
        <v>21</v>
      </c>
      <c r="B18" s="8" t="s">
        <v>22</v>
      </c>
      <c r="C18" s="8" t="s">
        <v>23</v>
      </c>
      <c r="D18" s="8" t="s">
        <v>25</v>
      </c>
      <c r="E18" s="4" t="s">
        <v>57</v>
      </c>
      <c r="H18" s="8" t="s">
        <v>46</v>
      </c>
      <c r="J18" s="13">
        <v>749</v>
      </c>
      <c r="K18" s="8"/>
      <c r="L18" s="15">
        <v>0.05</v>
      </c>
      <c r="O18" s="7" t="s">
        <v>56</v>
      </c>
      <c r="P18" s="16"/>
      <c r="Q18" s="3">
        <f t="shared" si="0"/>
        <v>561.47</v>
      </c>
      <c r="R18" s="8" t="s">
        <v>18</v>
      </c>
      <c r="S18" s="8">
        <v>25</v>
      </c>
      <c r="T18" s="5">
        <f t="shared" si="1"/>
        <v>713.33333333333326</v>
      </c>
    </row>
    <row r="19" spans="1:20" ht="16.95" customHeight="1" x14ac:dyDescent="0.3">
      <c r="A19" s="7" t="s">
        <v>21</v>
      </c>
      <c r="B19" s="8" t="s">
        <v>22</v>
      </c>
      <c r="C19" s="8" t="s">
        <v>23</v>
      </c>
      <c r="D19" s="8" t="s">
        <v>25</v>
      </c>
      <c r="E19" s="4" t="s">
        <v>57</v>
      </c>
      <c r="H19" s="8" t="s">
        <v>46</v>
      </c>
      <c r="K19" s="8"/>
      <c r="L19" s="15">
        <v>0.05</v>
      </c>
      <c r="O19" s="7" t="s">
        <v>56</v>
      </c>
      <c r="P19" s="16"/>
      <c r="Q19" s="3">
        <f t="shared" si="0"/>
        <v>0</v>
      </c>
      <c r="R19" s="8" t="s">
        <v>18</v>
      </c>
      <c r="S19" s="8">
        <v>25</v>
      </c>
      <c r="T19" s="5">
        <f t="shared" si="1"/>
        <v>0</v>
      </c>
    </row>
    <row r="20" spans="1:20" ht="16.95" customHeight="1" x14ac:dyDescent="0.3">
      <c r="A20" s="7" t="s">
        <v>21</v>
      </c>
      <c r="B20" s="8" t="s">
        <v>22</v>
      </c>
      <c r="C20" s="8" t="s">
        <v>23</v>
      </c>
      <c r="D20" s="8" t="s">
        <v>25</v>
      </c>
      <c r="E20" s="4" t="s">
        <v>57</v>
      </c>
      <c r="F20" s="9" t="s">
        <v>44</v>
      </c>
      <c r="I20" s="9" t="s">
        <v>44</v>
      </c>
      <c r="J20" s="9">
        <v>999</v>
      </c>
      <c r="K20" s="8">
        <v>90122</v>
      </c>
      <c r="L20" s="15">
        <v>0.05</v>
      </c>
      <c r="P20" s="16">
        <v>2</v>
      </c>
      <c r="Q20" s="3">
        <f t="shared" si="0"/>
        <v>748.88</v>
      </c>
      <c r="R20" s="8" t="s">
        <v>18</v>
      </c>
      <c r="S20" s="8">
        <v>25</v>
      </c>
      <c r="T20" s="5">
        <f t="shared" si="1"/>
        <v>951.42857142857144</v>
      </c>
    </row>
    <row r="21" spans="1:20" ht="16.95" customHeight="1" x14ac:dyDescent="0.3">
      <c r="A21" s="7" t="s">
        <v>21</v>
      </c>
      <c r="B21" s="8" t="s">
        <v>22</v>
      </c>
      <c r="C21" s="8" t="s">
        <v>23</v>
      </c>
      <c r="D21" s="8" t="s">
        <v>25</v>
      </c>
      <c r="E21" s="4" t="s">
        <v>57</v>
      </c>
      <c r="F21" s="9" t="s">
        <v>45</v>
      </c>
      <c r="I21" s="9" t="s">
        <v>45</v>
      </c>
      <c r="J21" s="9">
        <v>695</v>
      </c>
      <c r="K21" s="8">
        <v>90122</v>
      </c>
      <c r="L21" s="15">
        <v>0.05</v>
      </c>
      <c r="P21" s="16">
        <v>2</v>
      </c>
      <c r="Q21" s="3">
        <f t="shared" si="0"/>
        <v>520.99</v>
      </c>
      <c r="R21" s="8" t="s">
        <v>18</v>
      </c>
      <c r="S21" s="8">
        <v>25</v>
      </c>
      <c r="T21" s="5">
        <f t="shared" si="1"/>
        <v>661.90476190476193</v>
      </c>
    </row>
  </sheetData>
  <phoneticPr fontId="9" type="noConversion"/>
  <dataValidations count="1">
    <dataValidation type="list" allowBlank="1" showErrorMessage="1" errorTitle="The value you entered is not valid." error="The value entered violates data validation rules set in cell" sqref="M2:N3 G2:G3" xr:uid="{00000000-0002-0000-0000-000000000000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wadhwa</cp:lastModifiedBy>
  <dcterms:created xsi:type="dcterms:W3CDTF">2026-06-19T11:24:49Z</dcterms:created>
  <dcterms:modified xsi:type="dcterms:W3CDTF">2026-07-01T05:43:15Z</dcterms:modified>
</cp:coreProperties>
</file>