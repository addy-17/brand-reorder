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0"/>
    <numFmt numFmtId="165" formatCode="###0"/>
  </numFmts>
  <fonts count="10">
    <font>
      <name val="Calibri"/>
      <color rgb="FF000000"/>
      <sz val="11"/>
    </font>
    <font>
      <name val="Calibri"/>
      <b val="1"/>
      <sz val="10"/>
    </font>
    <font>
      <name val="Calibri"/>
      <sz val="10"/>
    </font>
    <font>
      <name val="Calibri"/>
      <sz val="10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434343"/>
      <sz val="10"/>
      <scheme val="minor"/>
    </font>
    <font>
      <name val="Calibri"/>
      <family val="2"/>
      <color rgb="FF000000"/>
      <sz val="11"/>
      <scheme val="minor"/>
    </font>
    <font>
      <name val="Calibri"/>
      <sz val="8"/>
    </font>
  </fonts>
  <fills count="7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EFE00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164" fontId="3" fillId="0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pivotButton="0" quotePrefix="0" xfId="0"/>
    <xf numFmtId="0" fontId="6" fillId="0" borderId="3" pivotButton="0" quotePrefix="0" xfId="0"/>
    <xf numFmtId="0" fontId="7" fillId="0" borderId="3" pivotButton="0" quotePrefix="0" xfId="0"/>
    <xf numFmtId="0" fontId="8" fillId="0" borderId="3" pivotButton="0" quotePrefix="0" xfId="0"/>
    <xf numFmtId="0" fontId="5" fillId="6" borderId="3" pivotButton="0" quotePrefix="0" xfId="0"/>
    <xf numFmtId="0" fontId="4" fillId="2" borderId="3" pivotButton="0" quotePrefix="0" xfId="0"/>
    <xf numFmtId="9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0" fontId="4" fillId="3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tabSelected="1" workbookViewId="0">
      <selection activeCell="E18" sqref="E18:E21"/>
    </sheetView>
  </sheetViews>
  <sheetFormatPr baseColWidth="8" defaultRowHeight="16.95" customHeight="1"/>
  <cols>
    <col width="12.109375" customWidth="1" style="9" min="1" max="1"/>
    <col width="14.6640625" customWidth="1" style="9" min="2" max="2"/>
    <col width="14.6640625" customWidth="1" style="8" min="3" max="3"/>
    <col width="16.44140625" customWidth="1" style="8" min="4" max="4"/>
    <col width="27.88671875" customWidth="1" style="9" min="6" max="6"/>
    <col width="10.5546875" customWidth="1" min="7" max="7"/>
    <col width="4.44140625" customWidth="1" style="8" min="8" max="8"/>
    <col width="10.5546875" customWidth="1" min="9" max="9"/>
    <col width="11.44140625" customWidth="1" style="9" min="10" max="10"/>
    <col width="10.109375" customWidth="1" style="9" min="11" max="11"/>
    <col width="6" customWidth="1" style="15" min="12" max="12"/>
    <col width="10.5546875" customWidth="1" min="13" max="14"/>
    <col width="7.44140625" customWidth="1" style="7" min="15" max="15"/>
    <col width="9.44140625" customWidth="1" style="9" min="16" max="16"/>
    <col width="5.88671875" customWidth="1" style="8" min="18" max="18"/>
    <col width="10.33203125" customWidth="1" style="9" min="19" max="19"/>
    <col width="10.5546875" customWidth="1" min="20" max="23"/>
  </cols>
  <sheetData>
    <row r="1" ht="14.4" customHeight="1">
      <c r="A1" s="6" t="inlineStr">
        <is>
          <t>Brand Name</t>
        </is>
      </c>
      <c r="B1" s="6" t="inlineStr">
        <is>
          <t>Category</t>
        </is>
      </c>
      <c r="C1" s="6" t="inlineStr">
        <is>
          <t>Sub Category</t>
        </is>
      </c>
      <c r="D1" s="6" t="inlineStr">
        <is>
          <t>Product</t>
        </is>
      </c>
      <c r="E1" s="1" t="inlineStr">
        <is>
          <t>Article</t>
        </is>
      </c>
      <c r="F1" s="6" t="inlineStr">
        <is>
          <t>Style Code /Sku</t>
        </is>
      </c>
      <c r="G1" s="1" t="inlineStr">
        <is>
          <t>Color</t>
        </is>
      </c>
      <c r="H1" s="6" t="inlineStr">
        <is>
          <t>Size</t>
        </is>
      </c>
      <c r="I1" s="1" t="inlineStr">
        <is>
          <t>Barcode No</t>
        </is>
      </c>
      <c r="J1" s="6" t="inlineStr">
        <is>
          <t>MRP</t>
        </is>
      </c>
      <c r="K1" s="6" t="inlineStr">
        <is>
          <t>HSN Code</t>
        </is>
      </c>
      <c r="L1" s="14" t="inlineStr">
        <is>
          <t>GST%</t>
        </is>
      </c>
      <c r="M1" s="1" t="inlineStr">
        <is>
          <t>MATERIAL</t>
        </is>
      </c>
      <c r="N1" s="1" t="inlineStr">
        <is>
          <t>Gender</t>
        </is>
      </c>
      <c r="O1" s="6" t="inlineStr">
        <is>
          <t>Season</t>
        </is>
      </c>
      <c r="P1" s="6" t="inlineStr">
        <is>
          <t>Quantity</t>
        </is>
      </c>
      <c r="Q1" s="1" t="inlineStr">
        <is>
          <t>PO RATE</t>
        </is>
      </c>
      <c r="R1" s="6" t="inlineStr">
        <is>
          <t>UOM</t>
        </is>
      </c>
      <c r="S1" s="17" t="inlineStr">
        <is>
          <t>MARGIN %</t>
        </is>
      </c>
      <c r="T1" s="2" t="inlineStr">
        <is>
          <t>Net Price</t>
        </is>
      </c>
    </row>
    <row r="2" ht="14.4" customHeight="1">
      <c r="A2" t="inlineStr">
        <is>
          <t>Neesh</t>
        </is>
      </c>
      <c r="B2" t="inlineStr">
        <is>
          <t>Personal Care</t>
        </is>
      </c>
      <c r="C2" t="inlineStr">
        <is>
          <t>Wellness</t>
        </is>
      </c>
      <c r="D2" t="inlineStr">
        <is>
          <t>Perfume</t>
        </is>
      </c>
      <c r="E2" t="inlineStr">
        <is>
          <t>PERSONAL CARE-WELLNESS-PERFUME</t>
        </is>
      </c>
      <c r="F2" t="inlineStr">
        <is>
          <t>OR1735</t>
        </is>
      </c>
      <c r="G2" t="inlineStr">
        <is>
          <t>Multicolor</t>
        </is>
      </c>
      <c r="H2" t="inlineStr">
        <is>
          <t>OS</t>
        </is>
      </c>
      <c r="I2" t="inlineStr">
        <is>
          <t>8906182120524</t>
        </is>
      </c>
      <c r="J2" t="n">
        <v>1500</v>
      </c>
      <c r="K2" t="inlineStr"/>
      <c r="L2" t="n">
        <v>0.05</v>
      </c>
      <c r="M2" t="inlineStr">
        <is>
          <t>Essential oils</t>
        </is>
      </c>
      <c r="N2" t="inlineStr"/>
      <c r="O2" t="inlineStr">
        <is>
          <t>SS26</t>
        </is>
      </c>
      <c r="P2" t="n">
        <v>8</v>
      </c>
      <c r="Q2">
        <f>ROUND((J2/(1+L2/100))*(1-S2/100),2)</f>
        <v/>
      </c>
      <c r="R2" t="inlineStr">
        <is>
          <t>PCS</t>
        </is>
      </c>
      <c r="S2" t="n">
        <v>25</v>
      </c>
      <c r="T2">
        <f>J2/(1+L2)</f>
        <v/>
      </c>
    </row>
    <row r="3" ht="14.4" customHeight="1">
      <c r="A3" t="inlineStr">
        <is>
          <t>Neesh</t>
        </is>
      </c>
      <c r="B3" t="inlineStr">
        <is>
          <t>Personal Care</t>
        </is>
      </c>
      <c r="C3" t="inlineStr">
        <is>
          <t>Wellness</t>
        </is>
      </c>
      <c r="D3" t="inlineStr">
        <is>
          <t>Perfume</t>
        </is>
      </c>
      <c r="E3" t="inlineStr">
        <is>
          <t>PERSONAL CARE-WELLNESS-PERFUME</t>
        </is>
      </c>
      <c r="F3" t="inlineStr">
        <is>
          <t>OR1753</t>
        </is>
      </c>
      <c r="G3" t="inlineStr">
        <is>
          <t>Multicolor</t>
        </is>
      </c>
      <c r="H3" t="inlineStr">
        <is>
          <t>OS</t>
        </is>
      </c>
      <c r="I3" t="inlineStr">
        <is>
          <t>8906182120081</t>
        </is>
      </c>
      <c r="J3" t="n">
        <v>1500</v>
      </c>
      <c r="K3" t="inlineStr"/>
      <c r="L3" t="n">
        <v>0.05</v>
      </c>
      <c r="M3" t="inlineStr">
        <is>
          <t>Essential oils</t>
        </is>
      </c>
      <c r="N3" t="inlineStr"/>
      <c r="O3" t="inlineStr">
        <is>
          <t>SS26</t>
        </is>
      </c>
      <c r="P3" t="n">
        <v>4</v>
      </c>
      <c r="Q3">
        <f>ROUND((J3/(1+L3/100))*(1-S3/100),2)</f>
        <v/>
      </c>
      <c r="R3" t="inlineStr">
        <is>
          <t>PCS</t>
        </is>
      </c>
      <c r="S3" t="n">
        <v>25</v>
      </c>
      <c r="T3">
        <f>J3/(1+L3)</f>
        <v/>
      </c>
    </row>
    <row r="4" ht="16.95" customHeight="1">
      <c r="A4" t="inlineStr">
        <is>
          <t>Neesh</t>
        </is>
      </c>
      <c r="B4" t="inlineStr">
        <is>
          <t>Personal Care</t>
        </is>
      </c>
      <c r="C4" t="inlineStr">
        <is>
          <t>Wellness</t>
        </is>
      </c>
      <c r="D4" t="inlineStr">
        <is>
          <t>Perfume</t>
        </is>
      </c>
      <c r="E4" t="inlineStr">
        <is>
          <t>PERSONAL CARE-WELLNESS-PERFUME</t>
        </is>
      </c>
      <c r="F4" t="inlineStr">
        <is>
          <t>OR1738</t>
        </is>
      </c>
      <c r="G4" t="inlineStr">
        <is>
          <t>Multicolor</t>
        </is>
      </c>
      <c r="H4" t="inlineStr">
        <is>
          <t>OS</t>
        </is>
      </c>
      <c r="I4" t="inlineStr">
        <is>
          <t>8906182120913</t>
        </is>
      </c>
      <c r="J4" t="n">
        <v>1800</v>
      </c>
      <c r="K4" t="inlineStr"/>
      <c r="L4" t="n">
        <v>0.05</v>
      </c>
      <c r="M4" t="inlineStr">
        <is>
          <t>Essential oils</t>
        </is>
      </c>
      <c r="N4" t="inlineStr"/>
      <c r="O4" t="inlineStr">
        <is>
          <t>SS26</t>
        </is>
      </c>
      <c r="P4" t="n">
        <v>4</v>
      </c>
      <c r="Q4">
        <f>ROUND((J4/(1+L4/100))*(1-S4/100),2)</f>
        <v/>
      </c>
      <c r="R4" t="inlineStr">
        <is>
          <t>PCS</t>
        </is>
      </c>
      <c r="S4" t="n">
        <v>25</v>
      </c>
      <c r="T4">
        <f>J4/(1+L4)</f>
        <v/>
      </c>
    </row>
    <row r="5" ht="16.95" customHeight="1">
      <c r="A5" t="inlineStr">
        <is>
          <t>Neesh</t>
        </is>
      </c>
      <c r="B5" t="inlineStr">
        <is>
          <t>Personal Care</t>
        </is>
      </c>
      <c r="C5" t="inlineStr">
        <is>
          <t>Wellness</t>
        </is>
      </c>
      <c r="D5" t="inlineStr">
        <is>
          <t>Perfume</t>
        </is>
      </c>
      <c r="E5" t="inlineStr">
        <is>
          <t>PERSONAL CARE-WELLNESS-PERFUME</t>
        </is>
      </c>
      <c r="F5" t="inlineStr">
        <is>
          <t>OR1736</t>
        </is>
      </c>
      <c r="G5" t="inlineStr">
        <is>
          <t>Multicolor</t>
        </is>
      </c>
      <c r="H5" t="inlineStr">
        <is>
          <t>OS</t>
        </is>
      </c>
      <c r="I5" t="inlineStr">
        <is>
          <t>8906182120517</t>
        </is>
      </c>
      <c r="J5" t="n">
        <v>4990</v>
      </c>
      <c r="K5" t="inlineStr"/>
      <c r="L5" t="n">
        <v>0.05</v>
      </c>
      <c r="M5" t="inlineStr">
        <is>
          <t>Essential oils</t>
        </is>
      </c>
      <c r="N5" t="inlineStr"/>
      <c r="O5" t="inlineStr">
        <is>
          <t>SS26</t>
        </is>
      </c>
      <c r="P5" t="n">
        <v>4</v>
      </c>
      <c r="Q5">
        <f>ROUND((J5/(1+L5/100))*(1-S5/100),2)</f>
        <v/>
      </c>
      <c r="R5" t="inlineStr">
        <is>
          <t>PCS</t>
        </is>
      </c>
      <c r="S5" t="n">
        <v>25</v>
      </c>
      <c r="T5">
        <f>J5/(1+L5)</f>
        <v/>
      </c>
    </row>
    <row r="6" ht="16.95" customHeight="1">
      <c r="A6" t="inlineStr">
        <is>
          <t>Neesh</t>
        </is>
      </c>
      <c r="B6" t="inlineStr">
        <is>
          <t>Personal Care</t>
        </is>
      </c>
      <c r="C6" t="inlineStr">
        <is>
          <t>Wellness</t>
        </is>
      </c>
      <c r="D6" t="inlineStr">
        <is>
          <t>Perfume</t>
        </is>
      </c>
      <c r="E6" t="inlineStr">
        <is>
          <t>PERSONAL CARE-WELLNESS-PERFUME</t>
        </is>
      </c>
      <c r="F6" t="inlineStr">
        <is>
          <t>OR1744</t>
        </is>
      </c>
      <c r="G6" t="inlineStr">
        <is>
          <t>Multicolor</t>
        </is>
      </c>
      <c r="H6" t="inlineStr">
        <is>
          <t>OS</t>
        </is>
      </c>
      <c r="I6" t="inlineStr">
        <is>
          <t>8906182120838</t>
        </is>
      </c>
      <c r="J6" t="n">
        <v>1900</v>
      </c>
      <c r="K6" t="inlineStr"/>
      <c r="L6" t="n">
        <v>0.05</v>
      </c>
      <c r="M6" t="inlineStr">
        <is>
          <t>Essential oils</t>
        </is>
      </c>
      <c r="N6" t="inlineStr"/>
      <c r="O6" t="inlineStr">
        <is>
          <t>SS26</t>
        </is>
      </c>
      <c r="P6" t="n">
        <v>4</v>
      </c>
      <c r="Q6">
        <f>ROUND((J6/(1+L6/100))*(1-S6/100),2)</f>
        <v/>
      </c>
      <c r="R6" t="inlineStr">
        <is>
          <t>PCS</t>
        </is>
      </c>
      <c r="S6" t="n">
        <v>25</v>
      </c>
      <c r="T6">
        <f>J6/(1+L6)</f>
        <v/>
      </c>
    </row>
    <row r="7" ht="16.95" customHeight="1"/>
    <row r="8" ht="16.95" customHeight="1"/>
    <row r="9" ht="16.95" customHeight="1"/>
    <row r="10" ht="16.95" customHeight="1"/>
    <row r="11" ht="16.95" customHeight="1"/>
    <row r="12" ht="16.95" customHeight="1"/>
    <row r="13" ht="16.95" customHeight="1"/>
    <row r="14" ht="16.95" customHeight="1"/>
    <row r="15" ht="16.95" customHeight="1"/>
    <row r="16" ht="16.95" customHeight="1"/>
    <row r="17" ht="16.95" customHeight="1"/>
    <row r="18" ht="16.95" customHeight="1"/>
    <row r="19" ht="16.95" customHeight="1"/>
    <row r="20" ht="16.95" customHeight="1"/>
    <row r="21" ht="16.95" customHeight="1"/>
  </sheetData>
  <dataValidations count="1">
    <dataValidation sqref="G2:G3 M2:N3" showDropDown="0" showInputMessage="0" showErrorMessage="1" allowBlank="1" errorTitle="The value you entered is not valid." error="The value entered violates data validation rules set in cell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2026-06-19T11:24:49Z</dcterms:created>
  <dcterms:modified xmlns:dcterms="http://purl.org/dc/terms/" xmlns:xsi="http://www.w3.org/2001/XMLSchema-instance" xsi:type="dcterms:W3CDTF">2026-07-06T06:26:49Z</dcterms:modified>
  <cp:lastModifiedBy>aditya wadhwa</cp:lastModifiedBy>
</cp:coreProperties>
</file>